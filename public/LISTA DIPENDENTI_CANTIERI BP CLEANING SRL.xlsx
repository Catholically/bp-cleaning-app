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I_Projects\bp-cleaning-app\public\"/>
    </mc:Choice>
  </mc:AlternateContent>
  <xr:revisionPtr revIDLastSave="0" documentId="13_ncr:1_{CDFFF3F2-9B8F-4A88-BF02-721A92E41987}" xr6:coauthVersionLast="47" xr6:coauthVersionMax="47" xr10:uidLastSave="{00000000-0000-0000-0000-000000000000}"/>
  <bookViews>
    <workbookView xWindow="0" yWindow="360" windowWidth="19395" windowHeight="11475" tabRatio="849" xr2:uid="{831D29BA-B351-1144-BEC2-3F3F97093A2F}"/>
  </bookViews>
  <sheets>
    <sheet name="ASSEGNAZIONI" sheetId="17" r:id="rId1"/>
    <sheet name="DIPENDENTI" sheetId="1" r:id="rId2"/>
    <sheet name="ILONA" sheetId="2" r:id="rId3"/>
    <sheet name="ELVISA" sheetId="3" r:id="rId4"/>
    <sheet name="MARIA" sheetId="4" r:id="rId5"/>
    <sheet name="LIUD" sheetId="5" r:id="rId6"/>
    <sheet name="DAFNE" sheetId="10" r:id="rId7"/>
    <sheet name="MARINA" sheetId="11" r:id="rId8"/>
    <sheet name="CORNELIO" sheetId="6" r:id="rId9"/>
    <sheet name="MARCO" sheetId="14" r:id="rId10"/>
    <sheet name="UMBERTO" sheetId="7" r:id="rId11"/>
    <sheet name="ZORKA" sheetId="15" r:id="rId12"/>
    <sheet name="SAMANTHA" sheetId="8" r:id="rId13"/>
    <sheet name="DOMENICA" sheetId="9" r:id="rId14"/>
    <sheet name="VALENTINA" sheetId="12" r:id="rId15"/>
    <sheet name="GIUSY" sheetId="13" r:id="rId16"/>
    <sheet name="YASSIM" sheetId="16" r:id="rId17"/>
    <sheet name="RIEPILOGO" sheetId="18" r:id="rId18"/>
  </sheets>
  <definedNames>
    <definedName name="_xlnm._FilterDatabase" localSheetId="0" hidden="1">ASSEGNAZIONI!$A$1:$C$145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8" l="1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6" i="18" a="1"/>
  <c r="B6" i="18" s="1"/>
  <c r="B5" i="18"/>
  <c r="B4" i="18"/>
  <c r="B7" i="18" s="1"/>
  <c r="C134" i="17"/>
  <c r="C133" i="17"/>
  <c r="C123" i="17"/>
  <c r="C114" i="17"/>
  <c r="C106" i="17"/>
  <c r="C92" i="17"/>
  <c r="C91" i="17"/>
  <c r="C83" i="17"/>
  <c r="C71" i="17"/>
  <c r="C53" i="17"/>
  <c r="C41" i="17"/>
  <c r="C26" i="17"/>
  <c r="C19" i="17"/>
  <c r="C13" i="17"/>
  <c r="C2" i="17"/>
  <c r="B25" i="18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<sst xmlns="http://schemas.openxmlformats.org/spreadsheetml/2006/main" count="492" uniqueCount="126">
  <si>
    <t>DIPENDENTI BP CLEANING SRL</t>
  </si>
  <si>
    <t>CALDERON GARCES LIUD CLEIDER</t>
  </si>
  <si>
    <t>DEMYDASYUK ILONA</t>
  </si>
  <si>
    <t>GUZHNAY GUAPACASA LUIS CORNELIO</t>
  </si>
  <si>
    <t>REXAJ ELVISA</t>
  </si>
  <si>
    <t>RODRIGUEZ HERNANDEZ MARIA ESTHER</t>
  </si>
  <si>
    <t>DESOGOS DOMENICA</t>
  </si>
  <si>
    <t>FELTRIN SAMANTHA</t>
  </si>
  <si>
    <t>GALIMBERTI UMBERTO</t>
  </si>
  <si>
    <t>GARGHENTINI DAFNE</t>
  </si>
  <si>
    <t>KASTRATOVIC ZORKA</t>
  </si>
  <si>
    <t>SACCON MARCO</t>
  </si>
  <si>
    <t>SALA MARINA</t>
  </si>
  <si>
    <t>ZARO VALENTINA</t>
  </si>
  <si>
    <t>DE CUBELLIS GIUSY</t>
  </si>
  <si>
    <t>YASSIM ABDELALIM</t>
  </si>
  <si>
    <t>NOMINATIVO</t>
  </si>
  <si>
    <t>INDIRIZZO MAIL</t>
  </si>
  <si>
    <t>CANTIERI</t>
  </si>
  <si>
    <t>CONDOMINIO PIEMONTE</t>
  </si>
  <si>
    <t>CONDOMINIO SANTA MARIA</t>
  </si>
  <si>
    <t>CONDOMINIO MALNATI E VANONI</t>
  </si>
  <si>
    <t>CONDOMINIO VIGANA</t>
  </si>
  <si>
    <t>CONDOMINIO BRUNELLA</t>
  </si>
  <si>
    <t>CONDOMINIPO CASA A7</t>
  </si>
  <si>
    <t>RESIDENZA DELLE STELLE</t>
  </si>
  <si>
    <t>CONDOMINIO BERTANI</t>
  </si>
  <si>
    <t>CONDOMINIO CA' NOVA</t>
  </si>
  <si>
    <t>CONDOMINIO VEBE</t>
  </si>
  <si>
    <t>CONDOMINIO COMO</t>
  </si>
  <si>
    <t>CASA TIBILETTI</t>
  </si>
  <si>
    <t>CONDOMINIO SOLE 2</t>
  </si>
  <si>
    <t>CONDOMINIO VIA CAMPIGLI</t>
  </si>
  <si>
    <t>BASE BLU UFFICI</t>
  </si>
  <si>
    <t>NEGOZIO BLU</t>
  </si>
  <si>
    <t>DISCARICA SANGALLI</t>
  </si>
  <si>
    <t>CONDOMINIO PALAZZO BORRI</t>
  </si>
  <si>
    <t>PALESTRA BRENNO</t>
  </si>
  <si>
    <t>CONDOMINIO VALGANNA CANOVA</t>
  </si>
  <si>
    <t>CONDOMINIO VALGANNA CANOVA 16</t>
  </si>
  <si>
    <t>CONDOMINIO CARLOTTA</t>
  </si>
  <si>
    <t>CONDOMINIO CASA B7</t>
  </si>
  <si>
    <t>STUDIO PONTI PAOLA</t>
  </si>
  <si>
    <t>CONDOMINIO BISBINO</t>
  </si>
  <si>
    <t>CONDOMINIO GLI ARCHI</t>
  </si>
  <si>
    <t>CONDOMINIO CRISTINA</t>
  </si>
  <si>
    <t>RESIDENZA VIA SEMPIONE 4</t>
  </si>
  <si>
    <t>CONDOMINIO KALIMERA</t>
  </si>
  <si>
    <t>CONDOMINIO IL CANCELLO</t>
  </si>
  <si>
    <t>CONDOMINIO IL MOLINO</t>
  </si>
  <si>
    <t>FURIANI SAEL SERVIZI SRL</t>
  </si>
  <si>
    <t>CONDOMINIO PIEMONTE 1</t>
  </si>
  <si>
    <t>EYE CENTER VARESE SRL</t>
  </si>
  <si>
    <t>CONDOMINIO ARCHI BASSA</t>
  </si>
  <si>
    <t>SISCODATA COMPUTER SRL</t>
  </si>
  <si>
    <t>SARTORIA  VERGALLO SRL</t>
  </si>
  <si>
    <t>CONDOMINIO LAURA</t>
  </si>
  <si>
    <t>AZIENDA SPECIALE A. PARMIANI</t>
  </si>
  <si>
    <t>SAVINELLI SRL</t>
  </si>
  <si>
    <t>CONDOMINIO IL POGGIO</t>
  </si>
  <si>
    <t>CONDOMINIO JOLE</t>
  </si>
  <si>
    <t>CONDOMINIO SABOTINO</t>
  </si>
  <si>
    <t>CONDOMINIO SPES</t>
  </si>
  <si>
    <t>CONDOMINIO BAGAINI 6</t>
  </si>
  <si>
    <t>CONDOMINIO CAVALLOTTI 3</t>
  </si>
  <si>
    <t>CONDOMINIOO CASCINA BELVEDERE</t>
  </si>
  <si>
    <t>CONDOMINIO IL PORRO</t>
  </si>
  <si>
    <t>CONDOMINIO DE AMICIS 25</t>
  </si>
  <si>
    <t>CONDOMINIO ROVERE</t>
  </si>
  <si>
    <t>AUTOSCUOLA VALCERESIO SRL</t>
  </si>
  <si>
    <t>FARMACIA NOBILI</t>
  </si>
  <si>
    <t>CONDOMINIO CASE BIANCHE LOTTO C</t>
  </si>
  <si>
    <t>MECCANICA GIULIANI SRL</t>
  </si>
  <si>
    <t>BASE BLU VARANO BORGHI</t>
  </si>
  <si>
    <t>CONDOMINIO COSTANZA1</t>
  </si>
  <si>
    <t xml:space="preserve">SANGALLI FRONT OFFICE </t>
  </si>
  <si>
    <t>AMBULATORI VIGGIU'</t>
  </si>
  <si>
    <t>CONDOMINIO IL SASSELLO</t>
  </si>
  <si>
    <t>SARTORIA VERGALLO SRL</t>
  </si>
  <si>
    <t>CONDOMINIO CASCINA GAGGIANO</t>
  </si>
  <si>
    <t xml:space="preserve">CANTIERI </t>
  </si>
  <si>
    <t>CONDOMINIO VERATTI 10</t>
  </si>
  <si>
    <t>CONDOMINIO GIULIANA/ALESSANDRA</t>
  </si>
  <si>
    <t>COMUNE DI CASCIAGO</t>
  </si>
  <si>
    <t>RESIDENZA SAN QUIRICO - LOTTO B</t>
  </si>
  <si>
    <t>CONDOMINIO CASA A/1</t>
  </si>
  <si>
    <t>CARROZZERIA CHINETTI SRL</t>
  </si>
  <si>
    <t>PACO ITALIANA SRL</t>
  </si>
  <si>
    <t>ASSOCIAZIONE CULTURALE IL CERCHIO SCIAMANICO</t>
  </si>
  <si>
    <t>AUTORITA' DI BACINO LACUALE CERESIO PIANO E GHIRLA</t>
  </si>
  <si>
    <t>ASSOCIAZIONE DILETTANTISTICA BRIDGE  VARESE</t>
  </si>
  <si>
    <t>ALETTI MARIO</t>
  </si>
  <si>
    <t>CIVELLI MARGHERITA</t>
  </si>
  <si>
    <t>RESIDENZA VIA ROBBIONI 1</t>
  </si>
  <si>
    <t>DOTT. EMANUELE MARITAN</t>
  </si>
  <si>
    <t>DOTT. ALFREDO DE NIGRIS</t>
  </si>
  <si>
    <t>AVV. CARLO BATTIPEDE</t>
  </si>
  <si>
    <t>IMPRESA SANGALLI GIANCARLO &amp; C. SRL</t>
  </si>
  <si>
    <t>Comune di Arcisate - AREA MANUTENTIVA</t>
  </si>
  <si>
    <t>CONDOMINIO CASA B/6</t>
  </si>
  <si>
    <t>PRODOTTI ORCO SRL SOCIETA' ALIMENTARE HELVETIA</t>
  </si>
  <si>
    <t>FARMACIE POMI DEI DOTT. ANDREA E ROSELLA POMI &amp; C. s.n.c.</t>
  </si>
  <si>
    <t>DOTT. MARCOMARIA CAPPELLO</t>
  </si>
  <si>
    <t>FONDAZIONE ASILO INFANTILE UMBERTO I</t>
  </si>
  <si>
    <t>FARMACIA NOBILI DI DOTT. L. E G. NOBILI SNC</t>
  </si>
  <si>
    <t>CONDOMINIO RESIDENCE GOVI</t>
  </si>
  <si>
    <t xml:space="preserve">ORDINE PROVINCIALE DEI MEDICI CHIRURGHI E DEGLI ODONTOIATRI </t>
  </si>
  <si>
    <t>IMMOBILIARE CONTI SRL</t>
  </si>
  <si>
    <t>DOTT.SSA PAOLA MARIA PATRUNO</t>
  </si>
  <si>
    <t>RESIDENZA MASPERO</t>
  </si>
  <si>
    <t>CONDOMINIO CAVOUR 18</t>
  </si>
  <si>
    <t>CONDOMINIO ARIEL</t>
  </si>
  <si>
    <t>DIPENDENTE</t>
  </si>
  <si>
    <t>CANTIERE</t>
  </si>
  <si>
    <t>N° CANTIERI</t>
  </si>
  <si>
    <t>SANGALLI FRONT OFFICE</t>
  </si>
  <si>
    <t>ASSOCIAZIONE DILETTANTISTICA BRIDGE VARESE</t>
  </si>
  <si>
    <t>ORDINE PROVINCIALE DEI MEDICI CHIRURGHI E DEGLI ODONTOIATRI</t>
  </si>
  <si>
    <t>RIEPILOGO DIPENDENTI E CANTIERI</t>
  </si>
  <si>
    <t>STATISTICHE GENERALI</t>
  </si>
  <si>
    <t>Totale Assegnazioni</t>
  </si>
  <si>
    <t>Totale Dipendenti</t>
  </si>
  <si>
    <t>Cantieri Unici</t>
  </si>
  <si>
    <t>Media Cantieri per Dipendente</t>
  </si>
  <si>
    <t>CANTIERI PER DIPENDENTE</t>
  </si>
  <si>
    <t>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</si>
</sst>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6DCE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/>
    </xf>
    <xf numFmtId="0" fontId="0" fillId="0" borderId="2" xfId="0" applyBorder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49" fontId="0" fillId="0" borderId="0" xfId="0" applyNumberFormat="1" applyAlignment="1">
      <alignment horizontal="left"/>
    </xf>
    <xf numFmtId="49" fontId="0" fillId="0" borderId="1" xfId="0" applyNumberFormat="1" applyBorder="1" applyAlignment="1">
      <alignment horizontal="left"/>
    </xf>
    <xf numFmtId="49" fontId="0" fillId="0" borderId="5" xfId="0" applyNumberFormat="1" applyBorder="1" applyAlignment="1">
      <alignment horizontal="left"/>
    </xf>
    <xf numFmtId="0" fontId="2" fillId="2" borderId="0" xfId="0" applyFont="1" applyFill="1" applyAlignment="1">
      <alignment horizontal="center"/>
    </xf>
    <xf numFmtId="0" fontId="1" fillId="3" borderId="0" xfId="0" applyFont="1" applyFill="1"/>
    <xf numFmtId="0" fontId="0" fillId="3" borderId="0" xfId="0" applyFill="1"/>
    <xf numFmtId="0" fontId="0" fillId="3" borderId="0" xfId="0" applyFill="1" applyAlignment="1">
      <alignment horizontal="center"/>
    </xf>
    <xf numFmtId="0" fontId="3" fillId="2" borderId="0" xfId="0" applyFont="1" applyFill="1"/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B946D65-6B45-40B6-961D-BE4F5AFEFE39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156B8-AACB-421C-BE1A-3B73326EAB50}">
  <sheetPr filterMode="1"/>
  <dimension ref="A1:C145"/>
  <sheetViews>
    <sheetView tabSelected="1" workbookViewId="0">
      <pane ySplit="1" topLeftCell="A46" activePane="bottomLeft" state="frozen"/>
      <selection pane="bottomLeft" activeCell="B159" sqref="B159"/>
    </sheetView>
  </sheetViews>
  <sheetFormatPr defaultRowHeight="15.75" x14ac:dyDescent="0.5"/>
  <cols>
    <col min="1" max="1" width="36.6875" customWidth="1"/>
    <col min="2" max="2" width="53.3125" customWidth="1"/>
    <col min="3" max="3" width="15" customWidth="1"/>
  </cols>
  <sheetData>
    <row r="1" spans="1:3" x14ac:dyDescent="0.5">
      <c r="A1" s="10" t="s">
        <v>112</v>
      </c>
      <c r="B1" s="10" t="s">
        <v>113</v>
      </c>
      <c r="C1" s="10" t="s">
        <v>114</v>
      </c>
    </row>
    <row r="2" spans="1:3" hidden="1" x14ac:dyDescent="0.5">
      <c r="A2" s="11" t="s">
        <v>1</v>
      </c>
      <c r="B2" s="12" t="s">
        <v>86</v>
      </c>
      <c r="C2" s="13">
        <f>COUNTIF(A:A,A2)</f>
        <v>11</v>
      </c>
    </row>
    <row r="3" spans="1:3" hidden="1" x14ac:dyDescent="0.5">
      <c r="A3" t="s">
        <v>1</v>
      </c>
      <c r="B3" t="s">
        <v>26</v>
      </c>
    </row>
    <row r="4" spans="1:3" hidden="1" x14ac:dyDescent="0.5">
      <c r="A4" t="s">
        <v>1</v>
      </c>
      <c r="B4" t="s">
        <v>23</v>
      </c>
    </row>
    <row r="5" spans="1:3" hidden="1" x14ac:dyDescent="0.5">
      <c r="A5" t="s">
        <v>1</v>
      </c>
      <c r="B5" t="s">
        <v>27</v>
      </c>
    </row>
    <row r="6" spans="1:3" hidden="1" x14ac:dyDescent="0.5">
      <c r="A6" t="s">
        <v>1</v>
      </c>
      <c r="B6" t="s">
        <v>85</v>
      </c>
    </row>
    <row r="7" spans="1:3" hidden="1" x14ac:dyDescent="0.5">
      <c r="A7" t="s">
        <v>1</v>
      </c>
      <c r="B7" t="s">
        <v>99</v>
      </c>
    </row>
    <row r="8" spans="1:3" hidden="1" x14ac:dyDescent="0.5">
      <c r="A8" t="s">
        <v>1</v>
      </c>
      <c r="B8" t="s">
        <v>41</v>
      </c>
    </row>
    <row r="9" spans="1:3" hidden="1" x14ac:dyDescent="0.5">
      <c r="A9" t="s">
        <v>1</v>
      </c>
      <c r="B9" t="s">
        <v>28</v>
      </c>
    </row>
    <row r="10" spans="1:3" hidden="1" x14ac:dyDescent="0.5">
      <c r="A10" t="s">
        <v>1</v>
      </c>
      <c r="B10" t="s">
        <v>24</v>
      </c>
    </row>
    <row r="11" spans="1:3" hidden="1" x14ac:dyDescent="0.5">
      <c r="A11" t="s">
        <v>1</v>
      </c>
      <c r="B11" t="s">
        <v>25</v>
      </c>
    </row>
    <row r="12" spans="1:3" hidden="1" x14ac:dyDescent="0.5">
      <c r="A12" t="s">
        <v>1</v>
      </c>
      <c r="B12" t="s">
        <v>115</v>
      </c>
    </row>
    <row r="13" spans="1:3" hidden="1" x14ac:dyDescent="0.5">
      <c r="A13" s="11" t="s">
        <v>14</v>
      </c>
      <c r="B13" s="12" t="s">
        <v>116</v>
      </c>
      <c r="C13" s="13">
        <f>COUNTIF(A:A,A13)</f>
        <v>6</v>
      </c>
    </row>
    <row r="14" spans="1:3" hidden="1" x14ac:dyDescent="0.5">
      <c r="A14" t="s">
        <v>14</v>
      </c>
      <c r="B14" t="s">
        <v>83</v>
      </c>
    </row>
    <row r="15" spans="1:3" hidden="1" x14ac:dyDescent="0.5">
      <c r="A15" t="s">
        <v>14</v>
      </c>
      <c r="B15" t="s">
        <v>27</v>
      </c>
    </row>
    <row r="16" spans="1:3" hidden="1" x14ac:dyDescent="0.5">
      <c r="A16" t="s">
        <v>14</v>
      </c>
      <c r="B16" t="s">
        <v>52</v>
      </c>
    </row>
    <row r="17" spans="1:3" hidden="1" x14ac:dyDescent="0.5">
      <c r="A17" t="s">
        <v>14</v>
      </c>
      <c r="B17" t="s">
        <v>100</v>
      </c>
    </row>
    <row r="18" spans="1:3" hidden="1" x14ac:dyDescent="0.5">
      <c r="A18" t="s">
        <v>14</v>
      </c>
      <c r="B18" t="s">
        <v>78</v>
      </c>
    </row>
    <row r="19" spans="1:3" hidden="1" x14ac:dyDescent="0.5">
      <c r="A19" s="11" t="s">
        <v>2</v>
      </c>
      <c r="B19" s="12" t="s">
        <v>89</v>
      </c>
      <c r="C19" s="13">
        <f>COUNTIF(A:A,A19)</f>
        <v>7</v>
      </c>
    </row>
    <row r="20" spans="1:3" hidden="1" x14ac:dyDescent="0.5">
      <c r="A20" t="s">
        <v>7</v>
      </c>
      <c r="B20" t="s">
        <v>33</v>
      </c>
    </row>
    <row r="21" spans="1:3" hidden="1" x14ac:dyDescent="0.5">
      <c r="A21" t="s">
        <v>2</v>
      </c>
      <c r="B21" t="s">
        <v>23</v>
      </c>
    </row>
    <row r="22" spans="1:3" hidden="1" x14ac:dyDescent="0.5">
      <c r="A22" t="s">
        <v>2</v>
      </c>
      <c r="B22" t="s">
        <v>19</v>
      </c>
    </row>
    <row r="23" spans="1:3" hidden="1" x14ac:dyDescent="0.5">
      <c r="A23" t="s">
        <v>2</v>
      </c>
      <c r="B23" t="s">
        <v>51</v>
      </c>
    </row>
    <row r="24" spans="1:3" hidden="1" x14ac:dyDescent="0.5">
      <c r="A24" t="s">
        <v>2</v>
      </c>
      <c r="B24" t="s">
        <v>20</v>
      </c>
    </row>
    <row r="25" spans="1:3" hidden="1" x14ac:dyDescent="0.5">
      <c r="A25" t="s">
        <v>2</v>
      </c>
      <c r="B25" t="s">
        <v>84</v>
      </c>
    </row>
    <row r="26" spans="1:3" hidden="1" x14ac:dyDescent="0.5">
      <c r="A26" s="11" t="s">
        <v>6</v>
      </c>
      <c r="B26" s="12" t="s">
        <v>76</v>
      </c>
      <c r="C26" s="13">
        <f>COUNTIF(A:A,A26)</f>
        <v>15</v>
      </c>
    </row>
    <row r="27" spans="1:3" hidden="1" x14ac:dyDescent="0.5">
      <c r="A27" t="s">
        <v>6</v>
      </c>
      <c r="B27" t="s">
        <v>69</v>
      </c>
    </row>
    <row r="28" spans="1:3" hidden="1" x14ac:dyDescent="0.5">
      <c r="A28" t="s">
        <v>6</v>
      </c>
      <c r="B28" t="s">
        <v>82</v>
      </c>
    </row>
    <row r="29" spans="1:3" hidden="1" x14ac:dyDescent="0.5">
      <c r="A29" t="s">
        <v>6</v>
      </c>
      <c r="B29" t="s">
        <v>60</v>
      </c>
    </row>
    <row r="30" spans="1:3" hidden="1" x14ac:dyDescent="0.5">
      <c r="A30" t="s">
        <v>6</v>
      </c>
      <c r="B30" t="s">
        <v>36</v>
      </c>
    </row>
    <row r="31" spans="1:3" hidden="1" x14ac:dyDescent="0.5">
      <c r="A31" t="s">
        <v>6</v>
      </c>
      <c r="B31" t="s">
        <v>20</v>
      </c>
    </row>
    <row r="32" spans="1:3" hidden="1" x14ac:dyDescent="0.5">
      <c r="A32" t="s">
        <v>6</v>
      </c>
      <c r="B32" t="s">
        <v>35</v>
      </c>
    </row>
    <row r="33" spans="1:3" hidden="1" x14ac:dyDescent="0.5">
      <c r="A33" t="s">
        <v>6</v>
      </c>
      <c r="B33" t="s">
        <v>95</v>
      </c>
    </row>
    <row r="34" spans="1:3" hidden="1" x14ac:dyDescent="0.5">
      <c r="A34" t="s">
        <v>6</v>
      </c>
      <c r="B34" t="s">
        <v>94</v>
      </c>
    </row>
    <row r="35" spans="1:3" hidden="1" x14ac:dyDescent="0.5">
      <c r="A35" t="s">
        <v>6</v>
      </c>
      <c r="B35" t="s">
        <v>102</v>
      </c>
    </row>
    <row r="36" spans="1:3" hidden="1" x14ac:dyDescent="0.5">
      <c r="A36" t="s">
        <v>6</v>
      </c>
      <c r="B36" t="s">
        <v>108</v>
      </c>
    </row>
    <row r="37" spans="1:3" hidden="1" x14ac:dyDescent="0.5">
      <c r="A37" t="s">
        <v>6</v>
      </c>
      <c r="B37" t="s">
        <v>103</v>
      </c>
    </row>
    <row r="38" spans="1:3" hidden="1" x14ac:dyDescent="0.5">
      <c r="A38" t="s">
        <v>6</v>
      </c>
      <c r="B38" t="s">
        <v>50</v>
      </c>
    </row>
    <row r="39" spans="1:3" hidden="1" x14ac:dyDescent="0.5">
      <c r="A39" t="s">
        <v>6</v>
      </c>
      <c r="B39" t="s">
        <v>37</v>
      </c>
    </row>
    <row r="40" spans="1:3" hidden="1" x14ac:dyDescent="0.5">
      <c r="A40" t="s">
        <v>6</v>
      </c>
      <c r="B40" t="s">
        <v>54</v>
      </c>
    </row>
    <row r="41" spans="1:3" hidden="1" x14ac:dyDescent="0.5">
      <c r="A41" s="11" t="s">
        <v>7</v>
      </c>
      <c r="B41" s="12" t="s">
        <v>88</v>
      </c>
      <c r="C41" s="13">
        <f>COUNTIF(A:A,A41)</f>
        <v>12</v>
      </c>
    </row>
    <row r="42" spans="1:3" hidden="1" x14ac:dyDescent="0.5">
      <c r="A42" t="s">
        <v>4</v>
      </c>
      <c r="B42" t="s">
        <v>33</v>
      </c>
    </row>
    <row r="43" spans="1:3" hidden="1" x14ac:dyDescent="0.5">
      <c r="A43" t="s">
        <v>7</v>
      </c>
      <c r="B43" t="s">
        <v>64</v>
      </c>
    </row>
    <row r="44" spans="1:3" hidden="1" x14ac:dyDescent="0.5">
      <c r="A44" t="s">
        <v>7</v>
      </c>
      <c r="B44" t="s">
        <v>81</v>
      </c>
    </row>
    <row r="45" spans="1:3" hidden="1" x14ac:dyDescent="0.5">
      <c r="A45" t="s">
        <v>7</v>
      </c>
      <c r="B45" t="s">
        <v>32</v>
      </c>
    </row>
    <row r="46" spans="1:3" x14ac:dyDescent="0.5">
      <c r="A46" t="s">
        <v>7</v>
      </c>
      <c r="B46" t="s">
        <v>101</v>
      </c>
    </row>
    <row r="47" spans="1:3" hidden="1" x14ac:dyDescent="0.5">
      <c r="A47" t="s">
        <v>7</v>
      </c>
      <c r="B47" t="s">
        <v>97</v>
      </c>
    </row>
    <row r="48" spans="1:3" hidden="1" x14ac:dyDescent="0.5">
      <c r="A48" t="s">
        <v>2</v>
      </c>
      <c r="B48" t="s">
        <v>73</v>
      </c>
    </row>
    <row r="49" spans="1:3" hidden="1" x14ac:dyDescent="0.5">
      <c r="A49" t="s">
        <v>7</v>
      </c>
      <c r="B49" t="s">
        <v>109</v>
      </c>
    </row>
    <row r="50" spans="1:3" hidden="1" x14ac:dyDescent="0.5">
      <c r="A50" t="s">
        <v>7</v>
      </c>
      <c r="B50" t="s">
        <v>93</v>
      </c>
    </row>
    <row r="51" spans="1:3" hidden="1" x14ac:dyDescent="0.5">
      <c r="A51" t="s">
        <v>7</v>
      </c>
      <c r="B51" t="s">
        <v>46</v>
      </c>
    </row>
    <row r="52" spans="1:3" hidden="1" x14ac:dyDescent="0.5">
      <c r="A52" t="s">
        <v>7</v>
      </c>
      <c r="B52" t="s">
        <v>42</v>
      </c>
    </row>
    <row r="53" spans="1:3" hidden="1" x14ac:dyDescent="0.5">
      <c r="A53" s="11" t="s">
        <v>8</v>
      </c>
      <c r="B53" s="12" t="s">
        <v>76</v>
      </c>
      <c r="C53" s="13">
        <f>COUNTIF(A:A,A53)</f>
        <v>18</v>
      </c>
    </row>
    <row r="54" spans="1:3" hidden="1" x14ac:dyDescent="0.5">
      <c r="A54" t="s">
        <v>8</v>
      </c>
      <c r="B54" t="s">
        <v>69</v>
      </c>
    </row>
    <row r="55" spans="1:3" hidden="1" x14ac:dyDescent="0.5">
      <c r="A55" t="s">
        <v>8</v>
      </c>
      <c r="B55" t="s">
        <v>96</v>
      </c>
    </row>
    <row r="56" spans="1:3" hidden="1" x14ac:dyDescent="0.5">
      <c r="A56" t="s">
        <v>8</v>
      </c>
      <c r="B56" t="s">
        <v>73</v>
      </c>
    </row>
    <row r="57" spans="1:3" hidden="1" x14ac:dyDescent="0.5">
      <c r="A57" t="s">
        <v>8</v>
      </c>
      <c r="B57" t="s">
        <v>53</v>
      </c>
    </row>
    <row r="58" spans="1:3" hidden="1" x14ac:dyDescent="0.5">
      <c r="A58" t="s">
        <v>8</v>
      </c>
      <c r="B58" t="s">
        <v>79</v>
      </c>
    </row>
    <row r="59" spans="1:3" hidden="1" x14ac:dyDescent="0.5">
      <c r="A59" t="s">
        <v>8</v>
      </c>
      <c r="B59" t="s">
        <v>45</v>
      </c>
    </row>
    <row r="60" spans="1:3" hidden="1" x14ac:dyDescent="0.5">
      <c r="A60" t="s">
        <v>8</v>
      </c>
      <c r="B60" t="s">
        <v>59</v>
      </c>
    </row>
    <row r="61" spans="1:3" hidden="1" x14ac:dyDescent="0.5">
      <c r="A61" t="s">
        <v>8</v>
      </c>
      <c r="B61" t="s">
        <v>77</v>
      </c>
    </row>
    <row r="62" spans="1:3" hidden="1" x14ac:dyDescent="0.5">
      <c r="A62" t="s">
        <v>8</v>
      </c>
      <c r="B62" t="s">
        <v>56</v>
      </c>
    </row>
    <row r="63" spans="1:3" hidden="1" x14ac:dyDescent="0.5">
      <c r="A63" t="s">
        <v>8</v>
      </c>
      <c r="B63" t="s">
        <v>105</v>
      </c>
    </row>
    <row r="64" spans="1:3" hidden="1" x14ac:dyDescent="0.5">
      <c r="A64" t="s">
        <v>8</v>
      </c>
      <c r="B64" t="s">
        <v>68</v>
      </c>
    </row>
    <row r="65" spans="1:3" hidden="1" x14ac:dyDescent="0.5">
      <c r="A65" t="s">
        <v>8</v>
      </c>
      <c r="B65" t="s">
        <v>65</v>
      </c>
    </row>
    <row r="66" spans="1:3" hidden="1" x14ac:dyDescent="0.5">
      <c r="A66" t="s">
        <v>8</v>
      </c>
      <c r="B66" t="s">
        <v>102</v>
      </c>
    </row>
    <row r="67" spans="1:3" hidden="1" x14ac:dyDescent="0.5">
      <c r="A67" t="s">
        <v>8</v>
      </c>
      <c r="B67" t="s">
        <v>52</v>
      </c>
    </row>
    <row r="68" spans="1:3" hidden="1" x14ac:dyDescent="0.5">
      <c r="A68" t="s">
        <v>8</v>
      </c>
      <c r="B68" t="s">
        <v>72</v>
      </c>
    </row>
    <row r="69" spans="1:3" hidden="1" x14ac:dyDescent="0.5">
      <c r="A69" t="s">
        <v>8</v>
      </c>
      <c r="B69" t="s">
        <v>100</v>
      </c>
    </row>
    <row r="70" spans="1:3" hidden="1" x14ac:dyDescent="0.5">
      <c r="A70" t="s">
        <v>8</v>
      </c>
      <c r="B70" t="s">
        <v>78</v>
      </c>
    </row>
    <row r="71" spans="1:3" hidden="1" x14ac:dyDescent="0.5">
      <c r="A71" s="11" t="s">
        <v>9</v>
      </c>
      <c r="B71" s="12" t="s">
        <v>76</v>
      </c>
      <c r="C71" s="13">
        <f>COUNTIF(A:A,A71)</f>
        <v>12</v>
      </c>
    </row>
    <row r="72" spans="1:3" hidden="1" x14ac:dyDescent="0.5">
      <c r="A72" t="s">
        <v>9</v>
      </c>
      <c r="B72" t="s">
        <v>96</v>
      </c>
    </row>
    <row r="73" spans="1:3" hidden="1" x14ac:dyDescent="0.5">
      <c r="A73" t="s">
        <v>9</v>
      </c>
      <c r="B73" t="s">
        <v>73</v>
      </c>
    </row>
    <row r="74" spans="1:3" hidden="1" x14ac:dyDescent="0.5">
      <c r="A74" t="s">
        <v>9</v>
      </c>
      <c r="B74" t="s">
        <v>48</v>
      </c>
    </row>
    <row r="75" spans="1:3" hidden="1" x14ac:dyDescent="0.5">
      <c r="A75" t="s">
        <v>9</v>
      </c>
      <c r="B75" t="s">
        <v>47</v>
      </c>
    </row>
    <row r="76" spans="1:3" hidden="1" x14ac:dyDescent="0.5">
      <c r="A76" t="s">
        <v>9</v>
      </c>
      <c r="B76" t="s">
        <v>56</v>
      </c>
    </row>
    <row r="77" spans="1:3" hidden="1" x14ac:dyDescent="0.5">
      <c r="A77" t="s">
        <v>9</v>
      </c>
      <c r="B77" t="s">
        <v>20</v>
      </c>
    </row>
    <row r="78" spans="1:3" hidden="1" x14ac:dyDescent="0.5">
      <c r="A78" t="s">
        <v>9</v>
      </c>
      <c r="B78" t="s">
        <v>95</v>
      </c>
    </row>
    <row r="79" spans="1:3" hidden="1" x14ac:dyDescent="0.5">
      <c r="A79" t="s">
        <v>9</v>
      </c>
      <c r="B79" t="s">
        <v>94</v>
      </c>
    </row>
    <row r="80" spans="1:3" hidden="1" x14ac:dyDescent="0.5">
      <c r="A80" t="s">
        <v>9</v>
      </c>
      <c r="B80" t="s">
        <v>108</v>
      </c>
    </row>
    <row r="81" spans="1:3" hidden="1" x14ac:dyDescent="0.5">
      <c r="A81" t="s">
        <v>9</v>
      </c>
      <c r="B81" t="s">
        <v>50</v>
      </c>
    </row>
    <row r="82" spans="1:3" hidden="1" x14ac:dyDescent="0.5">
      <c r="A82" t="s">
        <v>9</v>
      </c>
      <c r="B82" t="s">
        <v>54</v>
      </c>
    </row>
    <row r="83" spans="1:3" hidden="1" x14ac:dyDescent="0.5">
      <c r="A83" s="11" t="s">
        <v>3</v>
      </c>
      <c r="B83" s="12" t="s">
        <v>30</v>
      </c>
      <c r="C83" s="13">
        <f>COUNTIF(A:A,A83)</f>
        <v>8</v>
      </c>
    </row>
    <row r="84" spans="1:3" hidden="1" x14ac:dyDescent="0.5">
      <c r="A84" t="s">
        <v>3</v>
      </c>
      <c r="B84" t="s">
        <v>53</v>
      </c>
    </row>
    <row r="85" spans="1:3" hidden="1" x14ac:dyDescent="0.5">
      <c r="A85" t="s">
        <v>3</v>
      </c>
      <c r="B85" t="s">
        <v>43</v>
      </c>
    </row>
    <row r="86" spans="1:3" hidden="1" x14ac:dyDescent="0.5">
      <c r="A86" t="s">
        <v>3</v>
      </c>
      <c r="B86" t="s">
        <v>29</v>
      </c>
    </row>
    <row r="87" spans="1:3" hidden="1" x14ac:dyDescent="0.5">
      <c r="A87" t="s">
        <v>3</v>
      </c>
      <c r="B87" t="s">
        <v>20</v>
      </c>
    </row>
    <row r="88" spans="1:3" hidden="1" x14ac:dyDescent="0.5">
      <c r="A88" t="s">
        <v>3</v>
      </c>
      <c r="B88" t="s">
        <v>31</v>
      </c>
    </row>
    <row r="89" spans="1:3" hidden="1" x14ac:dyDescent="0.5">
      <c r="A89" t="s">
        <v>3</v>
      </c>
      <c r="B89" t="s">
        <v>87</v>
      </c>
    </row>
    <row r="90" spans="1:3" hidden="1" x14ac:dyDescent="0.5">
      <c r="A90" t="s">
        <v>3</v>
      </c>
      <c r="B90" t="s">
        <v>58</v>
      </c>
    </row>
    <row r="91" spans="1:3" hidden="1" x14ac:dyDescent="0.5">
      <c r="A91" s="11" t="s">
        <v>10</v>
      </c>
      <c r="B91" s="12" t="s">
        <v>57</v>
      </c>
      <c r="C91" s="13">
        <f>COUNTIF(A:A,A91)</f>
        <v>1</v>
      </c>
    </row>
    <row r="92" spans="1:3" hidden="1" x14ac:dyDescent="0.5">
      <c r="A92" s="11" t="s">
        <v>4</v>
      </c>
      <c r="B92" s="12" t="s">
        <v>91</v>
      </c>
      <c r="C92" s="13">
        <f>COUNTIF(A:A,A92)</f>
        <v>14</v>
      </c>
    </row>
    <row r="93" spans="1:3" hidden="1" x14ac:dyDescent="0.5">
      <c r="A93" t="s">
        <v>4</v>
      </c>
      <c r="B93" t="s">
        <v>88</v>
      </c>
    </row>
    <row r="94" spans="1:3" hidden="1" x14ac:dyDescent="0.5">
      <c r="A94" t="s">
        <v>4</v>
      </c>
      <c r="B94" t="s">
        <v>96</v>
      </c>
    </row>
    <row r="95" spans="1:3" hidden="1" x14ac:dyDescent="0.5">
      <c r="A95" t="s">
        <v>4</v>
      </c>
      <c r="B95" t="s">
        <v>73</v>
      </c>
    </row>
    <row r="96" spans="1:3" hidden="1" x14ac:dyDescent="0.5">
      <c r="A96" t="s">
        <v>7</v>
      </c>
      <c r="B96" t="s">
        <v>34</v>
      </c>
    </row>
    <row r="97" spans="1:3" hidden="1" x14ac:dyDescent="0.5">
      <c r="A97" t="s">
        <v>4</v>
      </c>
      <c r="B97" t="s">
        <v>111</v>
      </c>
    </row>
    <row r="98" spans="1:3" hidden="1" x14ac:dyDescent="0.5">
      <c r="A98" t="s">
        <v>4</v>
      </c>
      <c r="B98" t="s">
        <v>110</v>
      </c>
    </row>
    <row r="99" spans="1:3" hidden="1" x14ac:dyDescent="0.5">
      <c r="A99" t="s">
        <v>4</v>
      </c>
      <c r="B99" t="s">
        <v>98</v>
      </c>
    </row>
    <row r="100" spans="1:3" hidden="1" x14ac:dyDescent="0.5">
      <c r="A100" t="s">
        <v>4</v>
      </c>
      <c r="B100" t="s">
        <v>104</v>
      </c>
    </row>
    <row r="101" spans="1:3" x14ac:dyDescent="0.5">
      <c r="A101" t="s">
        <v>4</v>
      </c>
      <c r="B101" t="s">
        <v>101</v>
      </c>
    </row>
    <row r="102" spans="1:3" hidden="1" x14ac:dyDescent="0.5">
      <c r="A102" t="s">
        <v>4</v>
      </c>
      <c r="B102" t="s">
        <v>103</v>
      </c>
    </row>
    <row r="103" spans="1:3" hidden="1" x14ac:dyDescent="0.5">
      <c r="A103" t="s">
        <v>4</v>
      </c>
      <c r="B103" t="s">
        <v>97</v>
      </c>
    </row>
    <row r="104" spans="1:3" hidden="1" x14ac:dyDescent="0.5">
      <c r="A104" t="s">
        <v>4</v>
      </c>
      <c r="B104" t="s">
        <v>72</v>
      </c>
    </row>
    <row r="105" spans="1:3" hidden="1" x14ac:dyDescent="0.5">
      <c r="A105" t="s">
        <v>4</v>
      </c>
      <c r="B105" t="s">
        <v>34</v>
      </c>
    </row>
    <row r="106" spans="1:3" hidden="1" x14ac:dyDescent="0.5">
      <c r="A106" s="11" t="s">
        <v>5</v>
      </c>
      <c r="B106" s="12" t="s">
        <v>92</v>
      </c>
      <c r="C106" s="13">
        <f>COUNTIF(A:A,A106)</f>
        <v>8</v>
      </c>
    </row>
    <row r="107" spans="1:3" hidden="1" x14ac:dyDescent="0.5">
      <c r="A107" t="s">
        <v>5</v>
      </c>
      <c r="B107" t="s">
        <v>74</v>
      </c>
    </row>
    <row r="108" spans="1:3" hidden="1" x14ac:dyDescent="0.5">
      <c r="A108" t="s">
        <v>5</v>
      </c>
      <c r="B108" t="s">
        <v>21</v>
      </c>
    </row>
    <row r="109" spans="1:3" hidden="1" x14ac:dyDescent="0.5">
      <c r="A109" t="s">
        <v>5</v>
      </c>
      <c r="B109" t="s">
        <v>62</v>
      </c>
    </row>
    <row r="110" spans="1:3" hidden="1" x14ac:dyDescent="0.5">
      <c r="A110" t="s">
        <v>5</v>
      </c>
      <c r="B110" t="s">
        <v>38</v>
      </c>
    </row>
    <row r="111" spans="1:3" hidden="1" x14ac:dyDescent="0.5">
      <c r="A111" t="s">
        <v>5</v>
      </c>
      <c r="B111" t="s">
        <v>39</v>
      </c>
    </row>
    <row r="112" spans="1:3" hidden="1" x14ac:dyDescent="0.5">
      <c r="A112" t="s">
        <v>5</v>
      </c>
      <c r="B112" t="s">
        <v>22</v>
      </c>
    </row>
    <row r="113" spans="1:3" hidden="1" x14ac:dyDescent="0.5">
      <c r="A113" t="s">
        <v>5</v>
      </c>
      <c r="B113" t="s">
        <v>58</v>
      </c>
    </row>
    <row r="114" spans="1:3" hidden="1" x14ac:dyDescent="0.5">
      <c r="A114" s="11" t="s">
        <v>11</v>
      </c>
      <c r="B114" s="12" t="s">
        <v>96</v>
      </c>
      <c r="C114" s="13">
        <f>COUNTIF(A:A,A114)</f>
        <v>9</v>
      </c>
    </row>
    <row r="115" spans="1:3" hidden="1" x14ac:dyDescent="0.5">
      <c r="A115" t="s">
        <v>11</v>
      </c>
      <c r="B115" t="s">
        <v>44</v>
      </c>
    </row>
    <row r="116" spans="1:3" hidden="1" x14ac:dyDescent="0.5">
      <c r="A116" t="s">
        <v>11</v>
      </c>
      <c r="B116" t="s">
        <v>95</v>
      </c>
    </row>
    <row r="117" spans="1:3" hidden="1" x14ac:dyDescent="0.5">
      <c r="A117" t="s">
        <v>11</v>
      </c>
      <c r="B117" t="s">
        <v>94</v>
      </c>
    </row>
    <row r="118" spans="1:3" hidden="1" x14ac:dyDescent="0.5">
      <c r="A118" t="s">
        <v>11</v>
      </c>
      <c r="B118" t="s">
        <v>108</v>
      </c>
    </row>
    <row r="119" spans="1:3" hidden="1" x14ac:dyDescent="0.5">
      <c r="A119" t="s">
        <v>11</v>
      </c>
      <c r="B119" t="s">
        <v>104</v>
      </c>
    </row>
    <row r="120" spans="1:3" hidden="1" x14ac:dyDescent="0.5">
      <c r="A120" t="s">
        <v>11</v>
      </c>
      <c r="B120" t="s">
        <v>103</v>
      </c>
    </row>
    <row r="121" spans="1:3" hidden="1" x14ac:dyDescent="0.5">
      <c r="A121" t="s">
        <v>11</v>
      </c>
      <c r="B121" t="s">
        <v>107</v>
      </c>
    </row>
    <row r="122" spans="1:3" hidden="1" x14ac:dyDescent="0.5">
      <c r="A122" t="s">
        <v>11</v>
      </c>
      <c r="B122" t="s">
        <v>72</v>
      </c>
    </row>
    <row r="123" spans="1:3" hidden="1" x14ac:dyDescent="0.5">
      <c r="A123" s="11" t="s">
        <v>12</v>
      </c>
      <c r="B123" s="12" t="s">
        <v>76</v>
      </c>
      <c r="C123" s="13">
        <f>COUNTIF(A:A,A123)</f>
        <v>10</v>
      </c>
    </row>
    <row r="124" spans="1:3" hidden="1" x14ac:dyDescent="0.5">
      <c r="A124" t="s">
        <v>12</v>
      </c>
      <c r="B124" t="s">
        <v>69</v>
      </c>
    </row>
    <row r="125" spans="1:3" hidden="1" x14ac:dyDescent="0.5">
      <c r="A125" t="s">
        <v>12</v>
      </c>
      <c r="B125" t="s">
        <v>49</v>
      </c>
    </row>
    <row r="126" spans="1:3" hidden="1" x14ac:dyDescent="0.5">
      <c r="A126" t="s">
        <v>12</v>
      </c>
      <c r="B126" t="s">
        <v>66</v>
      </c>
    </row>
    <row r="127" spans="1:3" hidden="1" x14ac:dyDescent="0.5">
      <c r="A127" t="s">
        <v>12</v>
      </c>
      <c r="B127" t="s">
        <v>36</v>
      </c>
    </row>
    <row r="128" spans="1:3" hidden="1" x14ac:dyDescent="0.5">
      <c r="A128" t="s">
        <v>12</v>
      </c>
      <c r="B128" t="s">
        <v>20</v>
      </c>
    </row>
    <row r="129" spans="1:3" hidden="1" x14ac:dyDescent="0.5">
      <c r="A129" t="s">
        <v>12</v>
      </c>
      <c r="B129" t="s">
        <v>70</v>
      </c>
    </row>
    <row r="130" spans="1:3" x14ac:dyDescent="0.5">
      <c r="A130" t="s">
        <v>12</v>
      </c>
      <c r="B130" t="s">
        <v>101</v>
      </c>
    </row>
    <row r="131" spans="1:3" hidden="1" x14ac:dyDescent="0.5">
      <c r="A131" t="s">
        <v>12</v>
      </c>
      <c r="B131" t="s">
        <v>103</v>
      </c>
    </row>
    <row r="132" spans="1:3" hidden="1" x14ac:dyDescent="0.5">
      <c r="A132" t="s">
        <v>12</v>
      </c>
      <c r="B132" t="s">
        <v>107</v>
      </c>
    </row>
    <row r="133" spans="1:3" hidden="1" x14ac:dyDescent="0.5">
      <c r="A133" s="11" t="s">
        <v>15</v>
      </c>
      <c r="B133" s="12" t="s">
        <v>97</v>
      </c>
      <c r="C133" s="13">
        <f>COUNTIF(A:A,A133)</f>
        <v>1</v>
      </c>
    </row>
    <row r="134" spans="1:3" hidden="1" x14ac:dyDescent="0.5">
      <c r="A134" s="11" t="s">
        <v>13</v>
      </c>
      <c r="B134" s="12" t="s">
        <v>63</v>
      </c>
      <c r="C134" s="13">
        <f>COUNTIF(A:A,A134)</f>
        <v>12</v>
      </c>
    </row>
    <row r="135" spans="1:3" hidden="1" x14ac:dyDescent="0.5">
      <c r="A135" t="s">
        <v>13</v>
      </c>
      <c r="B135" t="s">
        <v>27</v>
      </c>
    </row>
    <row r="136" spans="1:3" hidden="1" x14ac:dyDescent="0.5">
      <c r="A136" t="s">
        <v>13</v>
      </c>
      <c r="B136" t="s">
        <v>40</v>
      </c>
    </row>
    <row r="137" spans="1:3" hidden="1" x14ac:dyDescent="0.5">
      <c r="A137" t="s">
        <v>13</v>
      </c>
      <c r="B137" t="s">
        <v>71</v>
      </c>
    </row>
    <row r="138" spans="1:3" hidden="1" x14ac:dyDescent="0.5">
      <c r="A138" t="s">
        <v>13</v>
      </c>
      <c r="B138" t="s">
        <v>67</v>
      </c>
    </row>
    <row r="139" spans="1:3" hidden="1" x14ac:dyDescent="0.5">
      <c r="A139" t="s">
        <v>13</v>
      </c>
      <c r="B139" t="s">
        <v>36</v>
      </c>
    </row>
    <row r="140" spans="1:3" hidden="1" x14ac:dyDescent="0.5">
      <c r="A140" t="s">
        <v>13</v>
      </c>
      <c r="B140" t="s">
        <v>61</v>
      </c>
    </row>
    <row r="141" spans="1:3" hidden="1" x14ac:dyDescent="0.5">
      <c r="A141" t="s">
        <v>13</v>
      </c>
      <c r="B141" t="s">
        <v>28</v>
      </c>
    </row>
    <row r="142" spans="1:3" x14ac:dyDescent="0.5">
      <c r="A142" t="s">
        <v>13</v>
      </c>
      <c r="B142" t="s">
        <v>101</v>
      </c>
    </row>
    <row r="143" spans="1:3" hidden="1" x14ac:dyDescent="0.5">
      <c r="A143" t="s">
        <v>13</v>
      </c>
      <c r="B143" t="s">
        <v>107</v>
      </c>
    </row>
    <row r="144" spans="1:3" hidden="1" x14ac:dyDescent="0.5">
      <c r="A144" t="s">
        <v>13</v>
      </c>
      <c r="B144" t="s">
        <v>117</v>
      </c>
    </row>
    <row r="145" spans="1:2" hidden="1" x14ac:dyDescent="0.5">
      <c r="A145" t="s">
        <v>13</v>
      </c>
      <c r="B145" t="s">
        <v>42</v>
      </c>
    </row>
  </sheetData>
  <autoFilter ref="A1:C145" xr:uid="{AA4156B8-AACB-421C-BE1A-3B73326EAB50}">
    <filterColumn colId="1">
      <filters>
        <filter val="FARMACIE POMI DEI DOTT. ANDREA E ROSELLA POMI &amp; C. s.n.c.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C7511-5900-2843-8641-5D9C31312F53}">
  <dimension ref="A1:B20"/>
  <sheetViews>
    <sheetView zoomScale="130" zoomScaleNormal="130" workbookViewId="0">
      <selection activeCell="A17" sqref="A3:A17"/>
    </sheetView>
  </sheetViews>
  <sheetFormatPr defaultColWidth="11" defaultRowHeight="15.75" x14ac:dyDescent="0.5"/>
  <cols>
    <col min="1" max="1" width="36.1875" customWidth="1"/>
    <col min="2" max="2" width="37.3125" customWidth="1"/>
  </cols>
  <sheetData>
    <row r="1" spans="1:2" ht="50" customHeight="1" x14ac:dyDescent="0.5">
      <c r="A1" s="17" t="s">
        <v>0</v>
      </c>
      <c r="B1" s="18"/>
    </row>
    <row r="2" spans="1:2" ht="50" customHeight="1" x14ac:dyDescent="0.5">
      <c r="A2" s="2" t="s">
        <v>16</v>
      </c>
      <c r="B2" s="4" t="s">
        <v>17</v>
      </c>
    </row>
    <row r="3" spans="1:2" ht="18" customHeight="1" x14ac:dyDescent="0.5">
      <c r="A3" s="1" t="s">
        <v>4</v>
      </c>
      <c r="B3" s="1"/>
    </row>
    <row r="4" spans="1:2" x14ac:dyDescent="0.5">
      <c r="A4" s="1" t="s">
        <v>2</v>
      </c>
      <c r="B4" s="1"/>
    </row>
    <row r="5" spans="1:2" x14ac:dyDescent="0.5">
      <c r="A5" s="1" t="s">
        <v>1</v>
      </c>
      <c r="B5" s="1"/>
    </row>
    <row r="6" spans="1:2" x14ac:dyDescent="0.5">
      <c r="A6" s="1" t="s">
        <v>3</v>
      </c>
      <c r="B6" s="1"/>
    </row>
    <row r="7" spans="1:2" x14ac:dyDescent="0.5">
      <c r="A7" s="1" t="s">
        <v>6</v>
      </c>
      <c r="B7" s="1"/>
    </row>
    <row r="8" spans="1:2" x14ac:dyDescent="0.5">
      <c r="A8" s="1" t="s">
        <v>7</v>
      </c>
      <c r="B8" s="1"/>
    </row>
    <row r="9" spans="1:2" x14ac:dyDescent="0.5">
      <c r="A9" s="1" t="s">
        <v>8</v>
      </c>
      <c r="B9" s="1"/>
    </row>
    <row r="10" spans="1:2" x14ac:dyDescent="0.5">
      <c r="A10" s="1" t="s">
        <v>9</v>
      </c>
      <c r="B10" s="1"/>
    </row>
    <row r="11" spans="1:2" x14ac:dyDescent="0.5">
      <c r="A11" s="1" t="s">
        <v>11</v>
      </c>
      <c r="B11" s="1"/>
    </row>
    <row r="12" spans="1:2" x14ac:dyDescent="0.5">
      <c r="A12" s="1" t="s">
        <v>12</v>
      </c>
      <c r="B12" s="1"/>
    </row>
    <row r="13" spans="1:2" x14ac:dyDescent="0.5">
      <c r="A13" s="1" t="s">
        <v>13</v>
      </c>
      <c r="B13" s="1"/>
    </row>
    <row r="14" spans="1:2" x14ac:dyDescent="0.5">
      <c r="A14" s="1" t="s">
        <v>14</v>
      </c>
      <c r="B14" s="1"/>
    </row>
    <row r="15" spans="1:2" x14ac:dyDescent="0.5">
      <c r="A15" s="1" t="s">
        <v>5</v>
      </c>
      <c r="B15" s="1"/>
    </row>
    <row r="16" spans="1:2" x14ac:dyDescent="0.5">
      <c r="A16" s="1" t="s">
        <v>10</v>
      </c>
      <c r="B16" s="1"/>
    </row>
    <row r="17" spans="1:2" x14ac:dyDescent="0.5">
      <c r="A17" s="1" t="s">
        <v>15</v>
      </c>
      <c r="B17" s="1"/>
    </row>
    <row r="18" spans="1:2" x14ac:dyDescent="0.5">
      <c r="A18" s="3"/>
      <c r="B18" s="1"/>
    </row>
    <row r="19" spans="1:2" x14ac:dyDescent="0.5">
      <c r="A19" s="1"/>
      <c r="B19" s="1"/>
    </row>
    <row r="20" spans="1:2" x14ac:dyDescent="0.5">
      <c r="A20" s="1"/>
      <c r="B20" s="1"/>
    </row>
  </sheetData>
  <mergeCells count="1">
    <mergeCell ref="A1:B1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97542-F3F2-3A49-9A2F-D37C77EBDF06}">
  <dimension ref="A1:A8"/>
  <sheetViews>
    <sheetView workbookViewId="0">
      <selection activeCell="B22" sqref="B22"/>
    </sheetView>
  </sheetViews>
  <sheetFormatPr defaultColWidth="11" defaultRowHeight="15.75" x14ac:dyDescent="0.5"/>
  <cols>
    <col min="1" max="1" width="50" bestFit="1" customWidth="1"/>
  </cols>
  <sheetData>
    <row r="1" spans="1:1" x14ac:dyDescent="0.5">
      <c r="A1" s="6" t="s">
        <v>18</v>
      </c>
    </row>
    <row r="2" spans="1:1" x14ac:dyDescent="0.5">
      <c r="A2" s="1" t="s">
        <v>19</v>
      </c>
    </row>
    <row r="3" spans="1:1" x14ac:dyDescent="0.5">
      <c r="A3" s="1" t="s">
        <v>84</v>
      </c>
    </row>
    <row r="4" spans="1:1" x14ac:dyDescent="0.5">
      <c r="A4" s="1" t="s">
        <v>20</v>
      </c>
    </row>
    <row r="5" spans="1:1" x14ac:dyDescent="0.5">
      <c r="A5" s="1" t="s">
        <v>73</v>
      </c>
    </row>
    <row r="6" spans="1:1" x14ac:dyDescent="0.5">
      <c r="A6" s="1" t="s">
        <v>23</v>
      </c>
    </row>
    <row r="7" spans="1:1" x14ac:dyDescent="0.5">
      <c r="A7" s="8" t="s">
        <v>89</v>
      </c>
    </row>
    <row r="8" spans="1:1" x14ac:dyDescent="0.5">
      <c r="A8" s="1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D8C16-E3A6-5E46-A5DE-99CDCB6E9981}">
  <dimension ref="A1:A15"/>
  <sheetViews>
    <sheetView workbookViewId="0">
      <selection activeCell="A15" sqref="A15"/>
    </sheetView>
  </sheetViews>
  <sheetFormatPr defaultColWidth="11" defaultRowHeight="15.75" x14ac:dyDescent="0.5"/>
  <cols>
    <col min="1" max="1" width="55.1875" bestFit="1" customWidth="1"/>
  </cols>
  <sheetData>
    <row r="1" spans="1:1" x14ac:dyDescent="0.5">
      <c r="A1" s="6" t="s">
        <v>18</v>
      </c>
    </row>
    <row r="2" spans="1:1" x14ac:dyDescent="0.5">
      <c r="A2" s="8" t="s">
        <v>98</v>
      </c>
    </row>
    <row r="3" spans="1:1" x14ac:dyDescent="0.5">
      <c r="A3" s="8" t="s">
        <v>97</v>
      </c>
    </row>
    <row r="4" spans="1:1" x14ac:dyDescent="0.5">
      <c r="A4" s="1" t="s">
        <v>72</v>
      </c>
    </row>
    <row r="5" spans="1:1" x14ac:dyDescent="0.5">
      <c r="A5" s="8" t="s">
        <v>104</v>
      </c>
    </row>
    <row r="6" spans="1:1" x14ac:dyDescent="0.5">
      <c r="A6" s="1" t="s">
        <v>73</v>
      </c>
    </row>
    <row r="7" spans="1:1" x14ac:dyDescent="0.5">
      <c r="A7" s="1" t="s">
        <v>33</v>
      </c>
    </row>
    <row r="8" spans="1:1" x14ac:dyDescent="0.5">
      <c r="A8" s="1" t="s">
        <v>34</v>
      </c>
    </row>
    <row r="9" spans="1:1" x14ac:dyDescent="0.5">
      <c r="A9" s="8" t="s">
        <v>103</v>
      </c>
    </row>
    <row r="10" spans="1:1" x14ac:dyDescent="0.5">
      <c r="A10" s="8" t="s">
        <v>88</v>
      </c>
    </row>
    <row r="11" spans="1:1" x14ac:dyDescent="0.5">
      <c r="A11" s="1" t="s">
        <v>91</v>
      </c>
    </row>
    <row r="12" spans="1:1" x14ac:dyDescent="0.5">
      <c r="A12" s="8" t="s">
        <v>96</v>
      </c>
    </row>
    <row r="13" spans="1:1" x14ac:dyDescent="0.5">
      <c r="A13" s="8" t="s">
        <v>101</v>
      </c>
    </row>
    <row r="14" spans="1:1" x14ac:dyDescent="0.5">
      <c r="A14" s="9" t="s">
        <v>110</v>
      </c>
    </row>
    <row r="15" spans="1:1" x14ac:dyDescent="0.5">
      <c r="A15" s="7" t="s">
        <v>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CE6A7-C1EF-1147-AF5E-084BD029441B}">
  <dimension ref="A1:A9"/>
  <sheetViews>
    <sheetView workbookViewId="0">
      <selection activeCell="E12" sqref="E12"/>
    </sheetView>
  </sheetViews>
  <sheetFormatPr defaultColWidth="11" defaultRowHeight="15.75" x14ac:dyDescent="0.5"/>
  <cols>
    <col min="1" max="1" width="34.1875" customWidth="1"/>
  </cols>
  <sheetData>
    <row r="1" spans="1:1" x14ac:dyDescent="0.5">
      <c r="A1" s="6" t="s">
        <v>18</v>
      </c>
    </row>
    <row r="2" spans="1:1" x14ac:dyDescent="0.5">
      <c r="A2" s="1" t="s">
        <v>74</v>
      </c>
    </row>
    <row r="3" spans="1:1" x14ac:dyDescent="0.5">
      <c r="A3" s="1" t="s">
        <v>58</v>
      </c>
    </row>
    <row r="4" spans="1:1" x14ac:dyDescent="0.5">
      <c r="A4" s="1" t="s">
        <v>21</v>
      </c>
    </row>
    <row r="5" spans="1:1" x14ac:dyDescent="0.5">
      <c r="A5" s="1" t="s">
        <v>92</v>
      </c>
    </row>
    <row r="6" spans="1:1" x14ac:dyDescent="0.5">
      <c r="A6" s="1" t="s">
        <v>22</v>
      </c>
    </row>
    <row r="7" spans="1:1" x14ac:dyDescent="0.5">
      <c r="A7" s="1" t="s">
        <v>38</v>
      </c>
    </row>
    <row r="8" spans="1:1" x14ac:dyDescent="0.5">
      <c r="A8" s="1" t="s">
        <v>39</v>
      </c>
    </row>
    <row r="9" spans="1:1" x14ac:dyDescent="0.5">
      <c r="A9" s="1" t="s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0F41C-A0B5-B14E-B3F2-DF853B348A77}">
  <dimension ref="A1:A12"/>
  <sheetViews>
    <sheetView workbookViewId="0">
      <selection activeCell="A12" sqref="A12"/>
    </sheetView>
  </sheetViews>
  <sheetFormatPr defaultColWidth="11" defaultRowHeight="15.75" x14ac:dyDescent="0.5"/>
  <cols>
    <col min="1" max="1" width="34.3125" customWidth="1"/>
  </cols>
  <sheetData>
    <row r="1" spans="1:1" x14ac:dyDescent="0.5">
      <c r="A1" s="6" t="s">
        <v>18</v>
      </c>
    </row>
    <row r="2" spans="1:1" x14ac:dyDescent="0.5">
      <c r="A2" s="1" t="s">
        <v>23</v>
      </c>
    </row>
    <row r="3" spans="1:1" x14ac:dyDescent="0.5">
      <c r="A3" s="1" t="s">
        <v>24</v>
      </c>
    </row>
    <row r="4" spans="1:1" x14ac:dyDescent="0.5">
      <c r="A4" s="1" t="s">
        <v>25</v>
      </c>
    </row>
    <row r="5" spans="1:1" x14ac:dyDescent="0.5">
      <c r="A5" s="1" t="s">
        <v>26</v>
      </c>
    </row>
    <row r="6" spans="1:1" x14ac:dyDescent="0.5">
      <c r="A6" s="1" t="s">
        <v>75</v>
      </c>
    </row>
    <row r="7" spans="1:1" x14ac:dyDescent="0.5">
      <c r="A7" s="1" t="s">
        <v>27</v>
      </c>
    </row>
    <row r="8" spans="1:1" x14ac:dyDescent="0.5">
      <c r="A8" s="1" t="s">
        <v>28</v>
      </c>
    </row>
    <row r="9" spans="1:1" x14ac:dyDescent="0.5">
      <c r="A9" s="1" t="s">
        <v>86</v>
      </c>
    </row>
    <row r="10" spans="1:1" x14ac:dyDescent="0.5">
      <c r="A10" s="1" t="s">
        <v>85</v>
      </c>
    </row>
    <row r="11" spans="1:1" x14ac:dyDescent="0.5">
      <c r="A11" s="1" t="s">
        <v>41</v>
      </c>
    </row>
    <row r="12" spans="1:1" x14ac:dyDescent="0.5">
      <c r="A12" s="1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20F36-22E5-974F-BF9A-25AAFA5E0FB8}">
  <dimension ref="A1:A13"/>
  <sheetViews>
    <sheetView workbookViewId="0">
      <selection activeCell="D13" sqref="D13"/>
    </sheetView>
  </sheetViews>
  <sheetFormatPr defaultColWidth="11" defaultRowHeight="15.75" x14ac:dyDescent="0.5"/>
  <cols>
    <col min="1" max="1" width="36.1875" customWidth="1"/>
  </cols>
  <sheetData>
    <row r="1" spans="1:1" x14ac:dyDescent="0.5">
      <c r="A1" s="6" t="s">
        <v>18</v>
      </c>
    </row>
    <row r="2" spans="1:1" x14ac:dyDescent="0.5">
      <c r="A2" s="1" t="s">
        <v>20</v>
      </c>
    </row>
    <row r="3" spans="1:1" x14ac:dyDescent="0.5">
      <c r="A3" s="1" t="s">
        <v>73</v>
      </c>
    </row>
    <row r="4" spans="1:1" x14ac:dyDescent="0.5">
      <c r="A4" s="1" t="s">
        <v>47</v>
      </c>
    </row>
    <row r="5" spans="1:1" x14ac:dyDescent="0.5">
      <c r="A5" s="1" t="s">
        <v>48</v>
      </c>
    </row>
    <row r="6" spans="1:1" x14ac:dyDescent="0.5">
      <c r="A6" s="1" t="s">
        <v>50</v>
      </c>
    </row>
    <row r="7" spans="1:1" x14ac:dyDescent="0.5">
      <c r="A7" s="1" t="s">
        <v>76</v>
      </c>
    </row>
    <row r="8" spans="1:1" x14ac:dyDescent="0.5">
      <c r="A8" s="1" t="s">
        <v>54</v>
      </c>
    </row>
    <row r="9" spans="1:1" x14ac:dyDescent="0.5">
      <c r="A9" s="1" t="s">
        <v>56</v>
      </c>
    </row>
    <row r="10" spans="1:1" x14ac:dyDescent="0.5">
      <c r="A10" s="8" t="s">
        <v>94</v>
      </c>
    </row>
    <row r="11" spans="1:1" x14ac:dyDescent="0.5">
      <c r="A11" s="8" t="s">
        <v>95</v>
      </c>
    </row>
    <row r="12" spans="1:1" x14ac:dyDescent="0.5">
      <c r="A12" s="8" t="s">
        <v>96</v>
      </c>
    </row>
    <row r="13" spans="1:1" x14ac:dyDescent="0.5">
      <c r="A13" s="8" t="s">
        <v>108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770C1-AC50-C54D-B20F-42F5F7719AD0}">
  <dimension ref="A1:A11"/>
  <sheetViews>
    <sheetView workbookViewId="0">
      <selection activeCell="A9" sqref="A9"/>
    </sheetView>
  </sheetViews>
  <sheetFormatPr defaultColWidth="11" defaultRowHeight="15.75" x14ac:dyDescent="0.5"/>
  <cols>
    <col min="1" max="1" width="55.1875" bestFit="1" customWidth="1"/>
  </cols>
  <sheetData>
    <row r="1" spans="1:1" x14ac:dyDescent="0.5">
      <c r="A1" s="6" t="s">
        <v>18</v>
      </c>
    </row>
    <row r="2" spans="1:1" x14ac:dyDescent="0.5">
      <c r="A2" s="1" t="s">
        <v>20</v>
      </c>
    </row>
    <row r="3" spans="1:1" x14ac:dyDescent="0.5">
      <c r="A3" s="1" t="s">
        <v>76</v>
      </c>
    </row>
    <row r="4" spans="1:1" x14ac:dyDescent="0.5">
      <c r="A4" s="7" t="s">
        <v>103</v>
      </c>
    </row>
    <row r="5" spans="1:1" x14ac:dyDescent="0.5">
      <c r="A5" s="1" t="s">
        <v>49</v>
      </c>
    </row>
    <row r="6" spans="1:1" x14ac:dyDescent="0.5">
      <c r="A6" s="8" t="s">
        <v>101</v>
      </c>
    </row>
    <row r="7" spans="1:1" x14ac:dyDescent="0.5">
      <c r="A7" s="1" t="s">
        <v>66</v>
      </c>
    </row>
    <row r="8" spans="1:1" x14ac:dyDescent="0.5">
      <c r="A8" s="1" t="s">
        <v>36</v>
      </c>
    </row>
    <row r="9" spans="1:1" x14ac:dyDescent="0.5">
      <c r="A9" s="1" t="s">
        <v>69</v>
      </c>
    </row>
    <row r="10" spans="1:1" x14ac:dyDescent="0.5">
      <c r="A10" s="1" t="s">
        <v>70</v>
      </c>
    </row>
    <row r="11" spans="1:1" x14ac:dyDescent="0.5">
      <c r="A11" s="1" t="s">
        <v>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E4D4D-4F9F-2849-A8D9-1F4A86F094AB}">
  <dimension ref="A1:A9"/>
  <sheetViews>
    <sheetView workbookViewId="0">
      <selection activeCell="A3" sqref="A3"/>
    </sheetView>
  </sheetViews>
  <sheetFormatPr defaultColWidth="11" defaultRowHeight="15.75" x14ac:dyDescent="0.5"/>
  <cols>
    <col min="1" max="1" width="27" customWidth="1"/>
  </cols>
  <sheetData>
    <row r="1" spans="1:1" x14ac:dyDescent="0.5">
      <c r="A1" s="6" t="s">
        <v>18</v>
      </c>
    </row>
    <row r="2" spans="1:1" x14ac:dyDescent="0.5">
      <c r="A2" s="1" t="s">
        <v>29</v>
      </c>
    </row>
    <row r="3" spans="1:1" x14ac:dyDescent="0.5">
      <c r="A3" s="1" t="s">
        <v>87</v>
      </c>
    </row>
    <row r="4" spans="1:1" x14ac:dyDescent="0.5">
      <c r="A4" s="1" t="s">
        <v>30</v>
      </c>
    </row>
    <row r="5" spans="1:1" x14ac:dyDescent="0.5">
      <c r="A5" s="1" t="s">
        <v>31</v>
      </c>
    </row>
    <row r="6" spans="1:1" x14ac:dyDescent="0.5">
      <c r="A6" s="1" t="s">
        <v>20</v>
      </c>
    </row>
    <row r="7" spans="1:1" x14ac:dyDescent="0.5">
      <c r="A7" s="1" t="s">
        <v>58</v>
      </c>
    </row>
    <row r="8" spans="1:1" x14ac:dyDescent="0.5">
      <c r="A8" s="1" t="s">
        <v>43</v>
      </c>
    </row>
    <row r="9" spans="1:1" x14ac:dyDescent="0.5">
      <c r="A9" s="1" t="s">
        <v>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DCB8A-3D1E-D44D-9631-D11C381867F1}">
  <dimension ref="A1:A11"/>
  <sheetViews>
    <sheetView workbookViewId="0">
      <selection activeCell="G28" sqref="G28"/>
    </sheetView>
  </sheetViews>
  <sheetFormatPr defaultColWidth="11" defaultRowHeight="15.75" x14ac:dyDescent="0.5"/>
  <cols>
    <col min="1" max="1" width="40.3125" bestFit="1" customWidth="1"/>
  </cols>
  <sheetData>
    <row r="1" spans="1:1" x14ac:dyDescent="0.5">
      <c r="A1" s="6" t="s">
        <v>18</v>
      </c>
    </row>
    <row r="2" spans="1:1" x14ac:dyDescent="0.5">
      <c r="A2" s="1" t="s">
        <v>44</v>
      </c>
    </row>
    <row r="3" spans="1:1" x14ac:dyDescent="0.5">
      <c r="A3" s="8" t="s">
        <v>103</v>
      </c>
    </row>
    <row r="4" spans="1:1" x14ac:dyDescent="0.5">
      <c r="A4" s="1" t="s">
        <v>72</v>
      </c>
    </row>
    <row r="5" spans="1:1" x14ac:dyDescent="0.5">
      <c r="A5" s="8" t="s">
        <v>104</v>
      </c>
    </row>
    <row r="6" spans="1:1" x14ac:dyDescent="0.5">
      <c r="A6" s="1" t="s">
        <v>107</v>
      </c>
    </row>
    <row r="7" spans="1:1" x14ac:dyDescent="0.5">
      <c r="A7" s="8" t="s">
        <v>94</v>
      </c>
    </row>
    <row r="8" spans="1:1" x14ac:dyDescent="0.5">
      <c r="A8" s="8" t="s">
        <v>95</v>
      </c>
    </row>
    <row r="9" spans="1:1" x14ac:dyDescent="0.5">
      <c r="A9" s="8" t="s">
        <v>96</v>
      </c>
    </row>
    <row r="10" spans="1:1" x14ac:dyDescent="0.5">
      <c r="A10" s="8" t="s">
        <v>108</v>
      </c>
    </row>
    <row r="11" spans="1:1" x14ac:dyDescent="0.5">
      <c r="A11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D5A9E-72DD-4B41-85E0-4002F78117D6}">
  <dimension ref="A1:A19"/>
  <sheetViews>
    <sheetView workbookViewId="0">
      <selection activeCell="E25" sqref="E25"/>
    </sheetView>
  </sheetViews>
  <sheetFormatPr defaultColWidth="11" defaultRowHeight="15.75" x14ac:dyDescent="0.5"/>
  <cols>
    <col min="1" max="1" width="47.3125" bestFit="1" customWidth="1"/>
  </cols>
  <sheetData>
    <row r="1" spans="1:1" x14ac:dyDescent="0.5">
      <c r="A1" s="6" t="s">
        <v>18</v>
      </c>
    </row>
    <row r="2" spans="1:1" x14ac:dyDescent="0.5">
      <c r="A2" s="8" t="s">
        <v>102</v>
      </c>
    </row>
    <row r="3" spans="1:1" x14ac:dyDescent="0.5">
      <c r="A3" s="1" t="s">
        <v>56</v>
      </c>
    </row>
    <row r="4" spans="1:1" x14ac:dyDescent="0.5">
      <c r="A4" s="8" t="s">
        <v>105</v>
      </c>
    </row>
    <row r="5" spans="1:1" x14ac:dyDescent="0.5">
      <c r="A5" s="1" t="s">
        <v>53</v>
      </c>
    </row>
    <row r="6" spans="1:1" x14ac:dyDescent="0.5">
      <c r="A6" s="1" t="s">
        <v>59</v>
      </c>
    </row>
    <row r="7" spans="1:1" x14ac:dyDescent="0.5">
      <c r="A7" s="1" t="s">
        <v>77</v>
      </c>
    </row>
    <row r="8" spans="1:1" x14ac:dyDescent="0.5">
      <c r="A8" s="8" t="s">
        <v>100</v>
      </c>
    </row>
    <row r="9" spans="1:1" x14ac:dyDescent="0.5">
      <c r="A9" s="1" t="s">
        <v>73</v>
      </c>
    </row>
    <row r="10" spans="1:1" x14ac:dyDescent="0.5">
      <c r="A10" s="1" t="s">
        <v>45</v>
      </c>
    </row>
    <row r="11" spans="1:1" x14ac:dyDescent="0.5">
      <c r="A11" s="1" t="s">
        <v>52</v>
      </c>
    </row>
    <row r="12" spans="1:1" x14ac:dyDescent="0.5">
      <c r="A12" s="1" t="s">
        <v>76</v>
      </c>
    </row>
    <row r="13" spans="1:1" x14ac:dyDescent="0.5">
      <c r="A13" s="1" t="s">
        <v>78</v>
      </c>
    </row>
    <row r="14" spans="1:1" x14ac:dyDescent="0.5">
      <c r="A14" s="1" t="s">
        <v>65</v>
      </c>
    </row>
    <row r="15" spans="1:1" x14ac:dyDescent="0.5">
      <c r="A15" s="1" t="s">
        <v>68</v>
      </c>
    </row>
    <row r="16" spans="1:1" x14ac:dyDescent="0.5">
      <c r="A16" s="1" t="s">
        <v>79</v>
      </c>
    </row>
    <row r="17" spans="1:1" x14ac:dyDescent="0.5">
      <c r="A17" s="8" t="s">
        <v>96</v>
      </c>
    </row>
    <row r="18" spans="1:1" x14ac:dyDescent="0.5">
      <c r="A18" s="1" t="s">
        <v>69</v>
      </c>
    </row>
    <row r="19" spans="1:1" x14ac:dyDescent="0.5">
      <c r="A19" s="1" t="s">
        <v>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37FAE-C841-EA4A-B55B-BD771ABDB68F}">
  <dimension ref="A1:A2"/>
  <sheetViews>
    <sheetView workbookViewId="0">
      <selection activeCell="N10" sqref="N10"/>
    </sheetView>
  </sheetViews>
  <sheetFormatPr defaultColWidth="11" defaultRowHeight="15.75" x14ac:dyDescent="0.5"/>
  <cols>
    <col min="1" max="1" width="28.1875" bestFit="1" customWidth="1"/>
  </cols>
  <sheetData>
    <row r="1" spans="1:1" x14ac:dyDescent="0.5">
      <c r="A1" s="6" t="s">
        <v>80</v>
      </c>
    </row>
    <row r="2" spans="1:1" x14ac:dyDescent="0.5">
      <c r="A2" s="1" t="s">
        <v>57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674A1-082A-BE4B-ABA2-BA2408DD5F49}">
  <dimension ref="A1:A13"/>
  <sheetViews>
    <sheetView workbookViewId="0">
      <selection activeCell="E19" sqref="E19"/>
    </sheetView>
  </sheetViews>
  <sheetFormatPr defaultColWidth="11" defaultRowHeight="15.75" x14ac:dyDescent="0.5"/>
  <cols>
    <col min="1" max="1" width="55.8125" customWidth="1"/>
  </cols>
  <sheetData>
    <row r="1" spans="1:1" x14ac:dyDescent="0.5">
      <c r="A1" s="5" t="s">
        <v>18</v>
      </c>
    </row>
    <row r="2" spans="1:1" x14ac:dyDescent="0.5">
      <c r="A2" s="1" t="s">
        <v>81</v>
      </c>
    </row>
    <row r="3" spans="1:1" x14ac:dyDescent="0.5">
      <c r="A3" s="1" t="s">
        <v>93</v>
      </c>
    </row>
    <row r="4" spans="1:1" x14ac:dyDescent="0.5">
      <c r="A4" s="1" t="s">
        <v>32</v>
      </c>
    </row>
    <row r="5" spans="1:1" x14ac:dyDescent="0.5">
      <c r="A5" s="1" t="s">
        <v>33</v>
      </c>
    </row>
    <row r="6" spans="1:1" x14ac:dyDescent="0.5">
      <c r="A6" s="1" t="s">
        <v>34</v>
      </c>
    </row>
    <row r="7" spans="1:1" x14ac:dyDescent="0.5">
      <c r="A7" s="1" t="s">
        <v>42</v>
      </c>
    </row>
    <row r="8" spans="1:1" x14ac:dyDescent="0.5">
      <c r="A8" s="1" t="s">
        <v>46</v>
      </c>
    </row>
    <row r="9" spans="1:1" x14ac:dyDescent="0.5">
      <c r="A9" s="8" t="s">
        <v>88</v>
      </c>
    </row>
    <row r="10" spans="1:1" x14ac:dyDescent="0.5">
      <c r="A10" s="1" t="s">
        <v>64</v>
      </c>
    </row>
    <row r="11" spans="1:1" x14ac:dyDescent="0.5">
      <c r="A11" s="8" t="s">
        <v>97</v>
      </c>
    </row>
    <row r="12" spans="1:1" x14ac:dyDescent="0.5">
      <c r="A12" s="8" t="s">
        <v>101</v>
      </c>
    </row>
    <row r="13" spans="1:1" x14ac:dyDescent="0.5">
      <c r="A13" s="8" t="s">
        <v>109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F68EB-65BC-AF46-BA52-7AB5E979BF0B}">
  <dimension ref="A1:A16"/>
  <sheetViews>
    <sheetView workbookViewId="0">
      <selection activeCell="D21" sqref="D21"/>
    </sheetView>
  </sheetViews>
  <sheetFormatPr defaultColWidth="11" defaultRowHeight="15.75" x14ac:dyDescent="0.5"/>
  <cols>
    <col min="1" max="1" width="40" customWidth="1"/>
  </cols>
  <sheetData>
    <row r="1" spans="1:1" x14ac:dyDescent="0.5">
      <c r="A1" s="6" t="s">
        <v>18</v>
      </c>
    </row>
    <row r="2" spans="1:1" x14ac:dyDescent="0.5">
      <c r="A2" s="1" t="s">
        <v>82</v>
      </c>
    </row>
    <row r="3" spans="1:1" x14ac:dyDescent="0.5">
      <c r="A3" s="8" t="s">
        <v>103</v>
      </c>
    </row>
    <row r="4" spans="1:1" x14ac:dyDescent="0.5">
      <c r="A4" s="1" t="s">
        <v>35</v>
      </c>
    </row>
    <row r="5" spans="1:1" x14ac:dyDescent="0.5">
      <c r="A5" s="1" t="s">
        <v>36</v>
      </c>
    </row>
    <row r="6" spans="1:1" x14ac:dyDescent="0.5">
      <c r="A6" s="1" t="s">
        <v>20</v>
      </c>
    </row>
    <row r="7" spans="1:1" x14ac:dyDescent="0.5">
      <c r="A7" s="1" t="s">
        <v>37</v>
      </c>
    </row>
    <row r="8" spans="1:1" x14ac:dyDescent="0.5">
      <c r="A8" s="1" t="s">
        <v>54</v>
      </c>
    </row>
    <row r="9" spans="1:1" x14ac:dyDescent="0.5">
      <c r="A9" s="1" t="s">
        <v>50</v>
      </c>
    </row>
    <row r="10" spans="1:1" x14ac:dyDescent="0.5">
      <c r="A10" s="1" t="s">
        <v>76</v>
      </c>
    </row>
    <row r="11" spans="1:1" x14ac:dyDescent="0.5">
      <c r="A11" s="1" t="s">
        <v>60</v>
      </c>
    </row>
    <row r="12" spans="1:1" x14ac:dyDescent="0.5">
      <c r="A12" s="8" t="s">
        <v>94</v>
      </c>
    </row>
    <row r="13" spans="1:1" x14ac:dyDescent="0.5">
      <c r="A13" s="8" t="s">
        <v>95</v>
      </c>
    </row>
    <row r="14" spans="1:1" x14ac:dyDescent="0.5">
      <c r="A14" s="8" t="s">
        <v>102</v>
      </c>
    </row>
    <row r="15" spans="1:1" x14ac:dyDescent="0.5">
      <c r="A15" s="1" t="s">
        <v>69</v>
      </c>
    </row>
    <row r="16" spans="1:1" x14ac:dyDescent="0.5">
      <c r="A16" s="8" t="s">
        <v>108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ECBE3-55EA-3146-91AD-93191E333385}">
  <dimension ref="A1:A13"/>
  <sheetViews>
    <sheetView workbookViewId="0">
      <selection activeCell="A12" sqref="A12"/>
    </sheetView>
  </sheetViews>
  <sheetFormatPr defaultColWidth="11" defaultRowHeight="15.75" x14ac:dyDescent="0.5"/>
  <cols>
    <col min="1" max="1" width="59.6875" bestFit="1" customWidth="1"/>
  </cols>
  <sheetData>
    <row r="1" spans="1:1" x14ac:dyDescent="0.5">
      <c r="A1" s="6" t="s">
        <v>18</v>
      </c>
    </row>
    <row r="2" spans="1:1" x14ac:dyDescent="0.5">
      <c r="A2" s="1" t="s">
        <v>28</v>
      </c>
    </row>
    <row r="3" spans="1:1" x14ac:dyDescent="0.5">
      <c r="A3" s="1" t="s">
        <v>40</v>
      </c>
    </row>
    <row r="4" spans="1:1" x14ac:dyDescent="0.5">
      <c r="A4" s="1" t="s">
        <v>27</v>
      </c>
    </row>
    <row r="5" spans="1:1" x14ac:dyDescent="0.5">
      <c r="A5" s="1" t="s">
        <v>42</v>
      </c>
    </row>
    <row r="6" spans="1:1" x14ac:dyDescent="0.5">
      <c r="A6" s="1" t="s">
        <v>61</v>
      </c>
    </row>
    <row r="7" spans="1:1" x14ac:dyDescent="0.5">
      <c r="A7" s="1" t="s">
        <v>63</v>
      </c>
    </row>
    <row r="8" spans="1:1" x14ac:dyDescent="0.5">
      <c r="A8" s="8" t="s">
        <v>101</v>
      </c>
    </row>
    <row r="9" spans="1:1" x14ac:dyDescent="0.5">
      <c r="A9" s="1" t="s">
        <v>67</v>
      </c>
    </row>
    <row r="10" spans="1:1" x14ac:dyDescent="0.5">
      <c r="A10" s="1" t="s">
        <v>36</v>
      </c>
    </row>
    <row r="11" spans="1:1" x14ac:dyDescent="0.5">
      <c r="A11" s="1" t="s">
        <v>71</v>
      </c>
    </row>
    <row r="12" spans="1:1" x14ac:dyDescent="0.5">
      <c r="A12" s="1" t="s">
        <v>107</v>
      </c>
    </row>
    <row r="13" spans="1:1" x14ac:dyDescent="0.5">
      <c r="A13" s="8" t="s">
        <v>106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AEEB2-E4B4-534D-887B-F5142A97068F}">
  <dimension ref="A1:A7"/>
  <sheetViews>
    <sheetView workbookViewId="0">
      <selection activeCell="D19" sqref="D19"/>
    </sheetView>
  </sheetViews>
  <sheetFormatPr defaultColWidth="11" defaultRowHeight="15.75" x14ac:dyDescent="0.5"/>
  <cols>
    <col min="1" max="1" width="47.3125" bestFit="1" customWidth="1"/>
  </cols>
  <sheetData>
    <row r="1" spans="1:1" x14ac:dyDescent="0.5">
      <c r="A1" s="6" t="s">
        <v>80</v>
      </c>
    </row>
    <row r="2" spans="1:1" x14ac:dyDescent="0.5">
      <c r="A2" s="1" t="s">
        <v>27</v>
      </c>
    </row>
    <row r="3" spans="1:1" x14ac:dyDescent="0.5">
      <c r="A3" s="1" t="s">
        <v>83</v>
      </c>
    </row>
    <row r="4" spans="1:1" x14ac:dyDescent="0.5">
      <c r="A4" s="8" t="s">
        <v>90</v>
      </c>
    </row>
    <row r="5" spans="1:1" x14ac:dyDescent="0.5">
      <c r="A5" s="1" t="s">
        <v>52</v>
      </c>
    </row>
    <row r="6" spans="1:1" x14ac:dyDescent="0.5">
      <c r="A6" s="1" t="s">
        <v>55</v>
      </c>
    </row>
    <row r="7" spans="1:1" x14ac:dyDescent="0.5">
      <c r="A7" s="8" t="s">
        <v>100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34E1F-B4D5-A648-A610-77C00A718E9B}">
  <dimension ref="A1:A2"/>
  <sheetViews>
    <sheetView workbookViewId="0">
      <selection activeCell="D15" sqref="D15"/>
    </sheetView>
  </sheetViews>
  <sheetFormatPr defaultColWidth="11" defaultRowHeight="15.75" x14ac:dyDescent="0.5"/>
  <cols>
    <col min="1" max="1" width="35.6875" bestFit="1" customWidth="1"/>
  </cols>
  <sheetData>
    <row r="1" spans="1:1" x14ac:dyDescent="0.5">
      <c r="A1" s="6" t="s">
        <v>18</v>
      </c>
    </row>
    <row r="2" spans="1:1" x14ac:dyDescent="0.5">
      <c r="A2" s="8" t="s">
        <v>97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2BEA8-8EE8-4AE5-8451-6666B1D8CF6C}">
  <dimension ref="A1:B25"/>
  <sheetViews>
    <sheetView workbookViewId="0"/>
  </sheetViews>
  <sheetFormatPr defaultRowHeight="15.75" x14ac:dyDescent="0.5"/>
  <cols>
    <col min="1" max="1" width="41.6875" customWidth="1"/>
    <col min="2" max="2" width="16.6875" customWidth="1"/>
  </cols>
  <sheetData>
    <row r="1" spans="1:2" ht="18" x14ac:dyDescent="0.55000000000000004">
      <c r="A1" s="14" t="s">
        <v>118</v>
      </c>
    </row>
    <row r="3" spans="1:2" x14ac:dyDescent="0.5">
      <c r="A3" s="11" t="s">
        <v>119</v>
      </c>
    </row>
    <row r="4" spans="1:2" x14ac:dyDescent="0.5">
      <c r="A4" t="s">
        <v>120</v>
      </c>
      <c r="B4">
        <f>COUNTA(ASSEGNAZIONI!A:A)-1</f>
        <v>144</v>
      </c>
    </row>
    <row r="5" spans="1:2" x14ac:dyDescent="0.5">
      <c r="A5" t="s">
        <v>121</v>
      </c>
      <c r="B5">
        <f>COUNTA(DIPENDENTI!A:A)-2</f>
        <v>15</v>
      </c>
    </row>
    <row r="6" spans="1:2" x14ac:dyDescent="0.5">
      <c r="A6" t="s">
        <v>122</v>
      </c>
      <c r="B6" cm="1">
        <f t="array" ref="B6">SUMPRODUCT(1/COUNTIF(ASSEGNAZIONI!B2:B145,ASSEGNAZIONI!B2:B145))</f>
        <v>90.999999999999957</v>
      </c>
    </row>
    <row r="7" spans="1:2" x14ac:dyDescent="0.5">
      <c r="A7" t="s">
        <v>123</v>
      </c>
      <c r="B7">
        <f>ROUND(B4/B5,1)</f>
        <v>9.6</v>
      </c>
    </row>
    <row r="9" spans="1:2" x14ac:dyDescent="0.5">
      <c r="A9" s="11" t="s">
        <v>124</v>
      </c>
      <c r="B9" s="15" t="s">
        <v>114</v>
      </c>
    </row>
    <row r="10" spans="1:2" x14ac:dyDescent="0.5">
      <c r="A10" t="s">
        <v>1</v>
      </c>
      <c r="B10" s="16">
        <f>COUNTIF(ASSEGNAZIONI!A:A,A10)</f>
        <v>11</v>
      </c>
    </row>
    <row r="11" spans="1:2" x14ac:dyDescent="0.5">
      <c r="A11" t="s">
        <v>14</v>
      </c>
      <c r="B11" s="16">
        <f>COUNTIF(ASSEGNAZIONI!A:A,A11)</f>
        <v>6</v>
      </c>
    </row>
    <row r="12" spans="1:2" x14ac:dyDescent="0.5">
      <c r="A12" t="s">
        <v>2</v>
      </c>
      <c r="B12" s="16">
        <f>COUNTIF(ASSEGNAZIONI!A:A,A12)</f>
        <v>7</v>
      </c>
    </row>
    <row r="13" spans="1:2" x14ac:dyDescent="0.5">
      <c r="A13" t="s">
        <v>6</v>
      </c>
      <c r="B13" s="16">
        <f>COUNTIF(ASSEGNAZIONI!A:A,A13)</f>
        <v>15</v>
      </c>
    </row>
    <row r="14" spans="1:2" x14ac:dyDescent="0.5">
      <c r="A14" t="s">
        <v>7</v>
      </c>
      <c r="B14" s="16">
        <f>COUNTIF(ASSEGNAZIONI!A:A,A14)</f>
        <v>12</v>
      </c>
    </row>
    <row r="15" spans="1:2" x14ac:dyDescent="0.5">
      <c r="A15" t="s">
        <v>8</v>
      </c>
      <c r="B15" s="16">
        <f>COUNTIF(ASSEGNAZIONI!A:A,A15)</f>
        <v>18</v>
      </c>
    </row>
    <row r="16" spans="1:2" x14ac:dyDescent="0.5">
      <c r="A16" t="s">
        <v>9</v>
      </c>
      <c r="B16" s="16">
        <f>COUNTIF(ASSEGNAZIONI!A:A,A16)</f>
        <v>12</v>
      </c>
    </row>
    <row r="17" spans="1:2" x14ac:dyDescent="0.5">
      <c r="A17" t="s">
        <v>3</v>
      </c>
      <c r="B17" s="16">
        <f>COUNTIF(ASSEGNAZIONI!A:A,A17)</f>
        <v>8</v>
      </c>
    </row>
    <row r="18" spans="1:2" x14ac:dyDescent="0.5">
      <c r="A18" t="s">
        <v>10</v>
      </c>
      <c r="B18" s="16">
        <f>COUNTIF(ASSEGNAZIONI!A:A,A18)</f>
        <v>1</v>
      </c>
    </row>
    <row r="19" spans="1:2" x14ac:dyDescent="0.5">
      <c r="A19" t="s">
        <v>4</v>
      </c>
      <c r="B19" s="16">
        <f>COUNTIF(ASSEGNAZIONI!A:A,A19)</f>
        <v>14</v>
      </c>
    </row>
    <row r="20" spans="1:2" x14ac:dyDescent="0.5">
      <c r="A20" t="s">
        <v>5</v>
      </c>
      <c r="B20" s="16">
        <f>COUNTIF(ASSEGNAZIONI!A:A,A20)</f>
        <v>8</v>
      </c>
    </row>
    <row r="21" spans="1:2" x14ac:dyDescent="0.5">
      <c r="A21" t="s">
        <v>11</v>
      </c>
      <c r="B21" s="16">
        <f>COUNTIF(ASSEGNAZIONI!A:A,A21)</f>
        <v>9</v>
      </c>
    </row>
    <row r="22" spans="1:2" x14ac:dyDescent="0.5">
      <c r="A22" t="s">
        <v>12</v>
      </c>
      <c r="B22" s="16">
        <f>COUNTIF(ASSEGNAZIONI!A:A,A22)</f>
        <v>10</v>
      </c>
    </row>
    <row r="23" spans="1:2" x14ac:dyDescent="0.5">
      <c r="A23" t="s">
        <v>15</v>
      </c>
      <c r="B23" s="16">
        <f>COUNTIF(ASSEGNAZIONI!A:A,A23)</f>
        <v>1</v>
      </c>
    </row>
    <row r="24" spans="1:2" x14ac:dyDescent="0.5">
      <c r="A24" t="s">
        <v>13</v>
      </c>
      <c r="B24" s="16">
        <f>COUNTIF(ASSEGNAZIONI!A:A,A24)</f>
        <v>12</v>
      </c>
    </row>
    <row r="25" spans="1:2" x14ac:dyDescent="0.5">
      <c r="A25" s="11" t="s">
        <v>125</v>
      </c>
      <c r="B25" s="15">
        <f>SUM(B10:B24)</f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ASSEGNAZIONI</vt:lpstr>
      <vt:lpstr>DIPENDENTI</vt:lpstr>
      <vt:lpstr>ILONA</vt:lpstr>
      <vt:lpstr>ELVISA</vt:lpstr>
      <vt:lpstr>MARIA</vt:lpstr>
      <vt:lpstr>LIUD</vt:lpstr>
      <vt:lpstr>DAFNE</vt:lpstr>
      <vt:lpstr>MARINA</vt:lpstr>
      <vt:lpstr>CORNELIO</vt:lpstr>
      <vt:lpstr>MARCO</vt:lpstr>
      <vt:lpstr>UMBERTO</vt:lpstr>
      <vt:lpstr>ZORKA</vt:lpstr>
      <vt:lpstr>SAMANTHA</vt:lpstr>
      <vt:lpstr>DOMENICA</vt:lpstr>
      <vt:lpstr>VALENTINA</vt:lpstr>
      <vt:lpstr>GIUSY</vt:lpstr>
      <vt:lpstr>YASSIM</vt:lpstr>
      <vt:lpstr>RIEPILOGO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vittorio franzosi</dc:creator>
  <cp:lastModifiedBy>robyK Z</cp:lastModifiedBy>
  <cp:lastPrinted>2026-01-27T10:51:28Z</cp:lastPrinted>
  <dcterms:created xsi:type="dcterms:W3CDTF">2022-03-30T13:28:04Z</dcterms:created>
  <dcterms:modified xsi:type="dcterms:W3CDTF">2026-02-05T08:27:13Z</dcterms:modified>
</cp:coreProperties>
</file>